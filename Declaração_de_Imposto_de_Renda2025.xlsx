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F58EE22-884F-488E-89E2-B43C54765B75}" xr6:coauthVersionLast="47" xr6:coauthVersionMax="47" xr10:uidLastSave="{00000000-0000-0000-0000-000000000000}"/>
  <bookViews>
    <workbookView xWindow="-120" yWindow="-120" windowWidth="20730" windowHeight="11310" activeTab="2" xr2:uid="{6AA0EE49-4683-49B0-B6B8-CCA35E321BC7}"/>
  </bookViews>
  <sheets>
    <sheet name="TÍ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G8" i="3"/>
  <c r="C8" i="3"/>
  <c r="J13" i="3"/>
  <c r="J14" i="3"/>
  <c r="J15" i="3"/>
  <c r="J16" i="3"/>
  <c r="J17" i="3"/>
  <c r="J18" i="3"/>
  <c r="J19" i="3"/>
  <c r="J20" i="3"/>
  <c r="J21" i="3"/>
  <c r="J22" i="3"/>
  <c r="J12" i="3"/>
  <c r="J11" i="3"/>
  <c r="C7" i="2"/>
</calcChain>
</file>

<file path=xl/sharedStrings.xml><?xml version="1.0" encoding="utf-8"?>
<sst xmlns="http://schemas.openxmlformats.org/spreadsheetml/2006/main" count="181" uniqueCount="120">
  <si>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</si>
  <si>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</si>
  <si>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</si>
  <si>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</si>
  <si>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</si>
  <si>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</si>
  <si>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</si>
  <si>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</si>
  <si>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</si>
  <si>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</si>
  <si>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</si>
  <si>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CÔNJUJE</t>
  </si>
  <si>
    <t>RESIDENTE DO EXTERIOR</t>
  </si>
  <si>
    <t>1. DADOS DO TÍTULAR</t>
  </si>
  <si>
    <t>preencha os dados da sua pessoa física abaixo</t>
  </si>
  <si>
    <t>NÃO</t>
  </si>
  <si>
    <t>SIM</t>
  </si>
  <si>
    <t>Gabrielly Santos</t>
  </si>
  <si>
    <t>Rua Itapoã Amarelo N 12</t>
  </si>
  <si>
    <t>Rua Itapoã A. N 12</t>
  </si>
  <si>
    <t>gabriellysantos@gmail.com</t>
  </si>
  <si>
    <t>2. INFORMES DE RENDIMENTOS BANCÁRIOS</t>
  </si>
  <si>
    <t>Preencha os dados atuais de cada banco</t>
  </si>
  <si>
    <t>BANCO</t>
  </si>
  <si>
    <t>VALOR ATUAL</t>
  </si>
  <si>
    <t>ANEXO 📎</t>
  </si>
  <si>
    <t>BANCOX.COM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</si>
  <si>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</si>
  <si>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</si>
  <si>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</si>
  <si>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</si>
  <si>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</si>
  <si>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</si>
  <si>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</si>
  <si>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</si>
  <si>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</si>
  <si>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</si>
  <si>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</si>
  <si>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</si>
  <si>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</si>
  <si>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</si>
  <si>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</si>
  <si>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</si>
  <si>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</si>
  <si>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</si>
  <si>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</si>
  <si>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</si>
  <si>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</si>
  <si>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</si>
  <si>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</si>
  <si>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</si>
  <si>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</si>
  <si>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</si>
  <si>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</si>
  <si>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</si>
  <si>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</si>
  <si>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</si>
  <si>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</si>
  <si>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</si>
  <si>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</si>
  <si>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</si>
  <si>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</si>
  <si>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</si>
  <si>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</si>
  <si>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</si>
  <si>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</si>
  <si>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</si>
  <si>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</si>
  <si>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</si>
  <si>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</si>
  <si>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</si>
  <si>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</si>
  <si>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</si>
  <si>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</si>
  <si>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</si>
  <si>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</si>
  <si>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</si>
  <si>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</si>
  <si>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</si>
  <si>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TOTAL</t>
  </si>
  <si>
    <t>3. NOTAS BANCÁRIAS OU EXTRATOS DE HOLERITES</t>
  </si>
  <si>
    <t>São todos os valores de entrada mês a mês da receita</t>
  </si>
  <si>
    <t>DATA</t>
  </si>
  <si>
    <t>CATEGORIA</t>
  </si>
  <si>
    <t>VALOR</t>
  </si>
  <si>
    <t>ENTRADAS</t>
  </si>
  <si>
    <t>2° Banco</t>
  </si>
  <si>
    <t>3° Banco</t>
  </si>
  <si>
    <t>CATEGORIAS</t>
  </si>
  <si>
    <t>CNPJ</t>
  </si>
  <si>
    <t>HOLERITES</t>
  </si>
  <si>
    <t>INTERNET</t>
  </si>
  <si>
    <t>ÁGUA</t>
  </si>
  <si>
    <t>LUZ</t>
  </si>
  <si>
    <t>CASA</t>
  </si>
  <si>
    <t>CARRO</t>
  </si>
  <si>
    <t>ESCOLA</t>
  </si>
  <si>
    <t>MERCADO</t>
  </si>
  <si>
    <t>MANUTENÇÃO_CARRO</t>
  </si>
  <si>
    <t>DESPESA_EM_GERAL</t>
  </si>
  <si>
    <t>OUTROS</t>
  </si>
  <si>
    <t>TOTAL DE SAÍDAS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</si>
  <si>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</si>
  <si>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</si>
  <si>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</si>
  <si>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</si>
  <si>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</si>
  <si>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</si>
  <si>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</si>
  <si>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</si>
  <si>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</si>
  <si>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</si>
  <si>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</si>
  <si>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</si>
  <si>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 2025</t>
  </si>
  <si>
    <t>GASTOS VARIÁVEIS</t>
  </si>
  <si>
    <t>GASTO FIXOS</t>
  </si>
  <si>
    <t>TOTAL DE ENTRADAS</t>
  </si>
  <si>
    <t>LUCRO LÍQUIDO ANUAL</t>
  </si>
  <si>
    <t>SAÍDAS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</si>
</sst>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2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rgb="FF993366"/>
      <name val="Calibri"/>
      <family val="2"/>
      <scheme val="minor"/>
    </font>
    <font>
      <sz val="11"/>
      <color rgb="FF99336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b/>
      <sz val="12"/>
      <color theme="1"/>
      <name val="Segoe MDL2 Assets"/>
      <family val="1"/>
    </font>
    <font>
      <b/>
      <sz val="11"/>
      <color theme="0"/>
      <name val="Segoe MDL2 Assets"/>
      <family val="1"/>
    </font>
    <font>
      <i/>
      <sz val="11"/>
      <color theme="1"/>
      <name val="Segoe MDL2 Assets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rgb="FFFF99FF"/>
        <bgColor indexed="64"/>
      </patternFill>
    </fill>
    <fill>
      <patternFill patternType="solid">
        <fgColor rgb="FFFFC7CE"/>
      </patternFill>
    </fill>
    <fill>
      <patternFill patternType="solid">
        <fgColor rgb="FFFF33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33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3399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right"/>
    </xf>
    <xf numFmtId="0" fontId="4" fillId="0" borderId="4" xfId="1" applyFont="1" applyFill="1" applyBorder="1"/>
    <xf numFmtId="0" fontId="1" fillId="0" borderId="4" xfId="1" applyBorder="1"/>
    <xf numFmtId="0" fontId="10" fillId="0" borderId="0" xfId="0" applyFont="1"/>
    <xf numFmtId="0" fontId="11" fillId="0" borderId="0" xfId="0" applyFont="1"/>
    <xf numFmtId="0" fontId="9" fillId="7" borderId="0" xfId="5" applyFont="1" applyFill="1" applyAlignment="1">
      <alignment horizontal="center"/>
    </xf>
    <xf numFmtId="0" fontId="2" fillId="3" borderId="3" xfId="2" applyBorder="1" applyAlignment="1" applyProtection="1">
      <alignment horizontal="left"/>
      <protection locked="0"/>
    </xf>
    <xf numFmtId="164" fontId="2" fillId="3" borderId="3" xfId="2" applyNumberFormat="1" applyBorder="1" applyAlignment="1" applyProtection="1">
      <alignment horizontal="left"/>
      <protection locked="0"/>
    </xf>
    <xf numFmtId="14" fontId="2" fillId="3" borderId="3" xfId="2" applyNumberFormat="1" applyBorder="1" applyAlignment="1" applyProtection="1">
      <alignment horizontal="left"/>
      <protection locked="0"/>
    </xf>
    <xf numFmtId="165" fontId="2" fillId="3" borderId="3" xfId="2" applyNumberFormat="1" applyBorder="1" applyAlignment="1" applyProtection="1">
      <alignment horizontal="left"/>
      <protection locked="0"/>
    </xf>
    <xf numFmtId="166" fontId="2" fillId="3" borderId="3" xfId="2" applyNumberFormat="1" applyBorder="1" applyAlignment="1" applyProtection="1">
      <alignment horizontal="left"/>
      <protection locked="0"/>
    </xf>
    <xf numFmtId="167" fontId="2" fillId="3" borderId="3" xfId="2" applyNumberFormat="1" applyBorder="1" applyAlignment="1" applyProtection="1">
      <alignment horizontal="left"/>
      <protection locked="0"/>
    </xf>
    <xf numFmtId="0" fontId="6" fillId="3" borderId="3" xfId="3" applyFill="1" applyBorder="1" applyAlignment="1" applyProtection="1">
      <alignment horizontal="left"/>
      <protection locked="0"/>
    </xf>
    <xf numFmtId="0" fontId="5" fillId="3" borderId="3" xfId="2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9" fillId="7" borderId="5" xfId="5" applyFont="1" applyFill="1" applyBorder="1" applyAlignment="1">
      <alignment horizontal="center"/>
    </xf>
    <xf numFmtId="0" fontId="9" fillId="7" borderId="6" xfId="5" applyFont="1" applyFill="1" applyBorder="1" applyAlignment="1">
      <alignment horizontal="center"/>
    </xf>
    <xf numFmtId="0" fontId="12" fillId="7" borderId="0" xfId="0" applyFont="1" applyFill="1"/>
    <xf numFmtId="0" fontId="0" fillId="9" borderId="0" xfId="0" applyFill="1"/>
    <xf numFmtId="0" fontId="3" fillId="4" borderId="0" xfId="0" applyFont="1" applyFill="1" applyAlignment="1">
      <alignment horizontal="left" indent="3"/>
    </xf>
    <xf numFmtId="0" fontId="13" fillId="4" borderId="0" xfId="0" applyFont="1" applyFill="1" applyAlignment="1">
      <alignment horizontal="left" indent="3"/>
    </xf>
    <xf numFmtId="0" fontId="1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9" fontId="16" fillId="8" borderId="5" xfId="0" applyNumberFormat="1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left" vertical="center"/>
    </xf>
    <xf numFmtId="168" fontId="16" fillId="8" borderId="6" xfId="0" applyNumberFormat="1" applyFont="1" applyFill="1" applyBorder="1" applyAlignment="1">
      <alignment horizontal="center" vertical="center"/>
    </xf>
    <xf numFmtId="168" fontId="0" fillId="0" borderId="0" xfId="0" applyNumberFormat="1"/>
    <xf numFmtId="168" fontId="0" fillId="10" borderId="0" xfId="0" applyNumberFormat="1" applyFill="1" applyAlignment="1">
      <alignment horizontal="center"/>
    </xf>
    <xf numFmtId="168" fontId="15" fillId="0" borderId="0" xfId="0" applyNumberFormat="1" applyFont="1"/>
    <xf numFmtId="0" fontId="15" fillId="5" borderId="0" xfId="5" applyFont="1" applyAlignment="1">
      <alignment horizontal="center"/>
    </xf>
    <xf numFmtId="0" fontId="0" fillId="0" borderId="0" xfId="0" applyFont="1" applyAlignment="1">
      <alignment vertical="top"/>
    </xf>
    <xf numFmtId="16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9" fillId="6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4" fillId="0" borderId="4" xfId="1" applyFont="1" applyFill="1" applyBorder="1" applyAlignment="1">
      <alignment horizontal="center"/>
    </xf>
    <xf numFmtId="168" fontId="15" fillId="0" borderId="0" xfId="0" applyNumberFormat="1" applyFont="1" applyAlignment="1">
      <alignment horizontal="left" vertical="center"/>
    </xf>
    <xf numFmtId="168" fontId="15" fillId="0" borderId="0" xfId="0" applyNumberFormat="1" applyFont="1" applyAlignment="1">
      <alignment horizontal="left"/>
    </xf>
    <xf numFmtId="168" fontId="17" fillId="4" borderId="0" xfId="0" applyNumberFormat="1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0" fontId="15" fillId="0" borderId="0" xfId="0" applyFont="1"/>
    <xf numFmtId="168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0" fillId="9" borderId="0" xfId="0" applyFill="1" applyAlignment="1"/>
    <xf numFmtId="168" fontId="15" fillId="9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19" fillId="12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68" fontId="15" fillId="5" borderId="0" xfId="5" applyNumberFormat="1" applyFont="1" applyAlignment="1">
      <alignment horizontal="center"/>
    </xf>
    <xf numFmtId="0" fontId="15" fillId="5" borderId="0" xfId="5" applyFont="1" applyAlignment="1">
      <alignment horizontal="center"/>
    </xf>
    <xf numFmtId="168" fontId="7" fillId="3" borderId="3" xfId="4" applyNumberFormat="1" applyFont="1" applyFill="1" applyBorder="1" applyAlignment="1" applyProtection="1">
      <alignment horizontal="left"/>
      <protection locked="0"/>
    </xf>
  </cellXfs>
  <cellStyles count="6">
    <cellStyle name="Hiperlink" xfId="3" builtinId="8"/>
    <cellStyle name="Moeda" xfId="4" builtinId="4"/>
    <cellStyle name="Neutro" xfId="2" builtinId="28"/>
    <cellStyle name="Normal" xfId="0" builtinId="0"/>
    <cellStyle name="Ruim" xfId="5" builtinId="27"/>
    <cellStyle name="Título 1" xfId="1" builtinId="16"/>
  </cellStyles>
  <dxfs count="13">
    <dxf>
      <font>
        <b/>
      </font>
      <numFmt numFmtId="168" formatCode="&quot;R$&quot;\ #,##0.00"/>
    </dxf>
    <dxf>
      <numFmt numFmtId="168" formatCode="&quot;R$&quot;\ #,##0.00"/>
    </dxf>
    <dxf>
      <font>
        <b val="0"/>
        <i val="0"/>
      </font>
      <fill>
        <patternFill patternType="solid">
          <fgColor rgb="FFFF99CC"/>
          <bgColor rgb="FFFF33CC"/>
        </patternFill>
      </fill>
      <border>
        <left style="thin">
          <color rgb="FF993366"/>
        </left>
        <right style="thin">
          <color rgb="FF993366"/>
        </right>
        <top style="thin">
          <color rgb="FF993366"/>
        </top>
        <bottom style="thin">
          <color rgb="FF993366"/>
        </bottom>
        <vertical/>
        <horizontal/>
      </border>
    </dxf>
    <dxf>
      <numFmt numFmtId="168" formatCode="&quot;R$&quot;\ #,##0.00"/>
    </dxf>
    <dxf>
      <font>
        <strike val="0"/>
        <outline val="0"/>
        <shadow val="0"/>
        <u val="none"/>
        <vertAlign val="baseline"/>
        <sz val="11"/>
        <color theme="1"/>
        <name val="Segoe MDL2 Assets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MDL2 Assets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MDL2 Assets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MDL2 Assets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993366"/>
        </patternFill>
      </fill>
      <alignment horizontal="center" vertical="bottom" textRotation="0" wrapText="0" indent="0" justifyLastLine="0" shrinkToFit="0" readingOrder="0"/>
    </dxf>
    <dxf>
      <font>
        <b/>
        <i val="0"/>
        <color theme="1"/>
      </font>
      <fill>
        <patternFill patternType="lightHorizontal">
          <fgColor theme="0"/>
          <bgColor rgb="FFFF99CC"/>
        </patternFill>
      </fill>
      <border>
        <top style="thin">
          <color rgb="FFFF3399"/>
        </top>
        <bottom style="thin">
          <color rgb="FFFF3399"/>
        </bottom>
        <vertical style="thin">
          <color rgb="FFFF3399"/>
        </vertical>
        <horizontal style="thin">
          <color rgb="FFFF3399"/>
        </horizontal>
      </border>
    </dxf>
    <dxf>
      <font>
        <b val="0"/>
        <i val="0"/>
        <strike val="0"/>
        <u val="none"/>
        <color rgb="FF993366"/>
      </font>
      <fill>
        <patternFill patternType="lightHorizontal">
          <fgColor rgb="FFFF99FF"/>
          <bgColor rgb="FFFF66CC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ill>
        <gradientFill degree="90">
          <stop position="0">
            <color rgb="FFFF3399"/>
          </stop>
          <stop position="1">
            <color rgb="FFFF99CC"/>
          </stop>
        </gradientFill>
      </fill>
    </dxf>
    <dxf>
      <fill>
        <patternFill patternType="solid">
          <fgColor rgb="FFFF99FF"/>
          <bgColor rgb="FFFF99FF"/>
        </patternFill>
      </fill>
      <border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4" defaultTableStyle="TableStyleMedium2" defaultPivotStyle="PivotStyleLight16">
    <tableStyle name="Estilo de Tabela 1" pivot="0" count="1" xr9:uid="{CEB0DA18-E06F-436F-BA63-AF998F451D7D}">
      <tableStyleElement type="wholeTable" dxfId="12"/>
    </tableStyle>
    <tableStyle name="Estilo de Tabela 2" pivot="0" count="1" xr9:uid="{BFA0F800-2C54-494A-8041-4AF14CF77F15}">
      <tableStyleElement type="firstColumnStripe" dxfId="11"/>
    </tableStyle>
    <tableStyle name="Estilo de Tabela Dinâmica 1" table="0" count="1" xr9:uid="{09E55993-1CF7-45CE-814A-3ED15DACC026}">
      <tableStyleElement type="wholeTable" dxfId="10"/>
    </tableStyle>
    <tableStyle name="ROSA" pivot="0" count="1" xr9:uid="{DFBEFC82-A835-4F74-B047-3B9344BAAA41}">
      <tableStyleElement type="wholeTable" dxfId="9"/>
    </tableStyle>
  </tableStyles>
  <colors>
    <mruColors>
      <color rgb="FFFF33CC"/>
      <color rgb="FFFF99CC"/>
      <color rgb="FFFF66CC"/>
      <color rgb="FF993366"/>
      <color rgb="FFFF99FF"/>
      <color rgb="FFFF2942"/>
      <color rgb="FFD80EB2"/>
      <color rgb="FFFF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le-sueli-alves-167093265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le-sueli-alves-167093265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brielle-sueli-alves-167093265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3</xdr:row>
      <xdr:rowOff>209157</xdr:rowOff>
    </xdr:from>
    <xdr:to>
      <xdr:col>0</xdr:col>
      <xdr:colOff>1838325</xdr:colOff>
      <xdr:row>11</xdr:row>
      <xdr:rowOff>23467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EAEF71-558B-799D-A60D-31A7EAA55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847332"/>
          <a:ext cx="1495425" cy="1443085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0</xdr:rowOff>
    </xdr:from>
    <xdr:to>
      <xdr:col>0</xdr:col>
      <xdr:colOff>2133600</xdr:colOff>
      <xdr:row>3</xdr:row>
      <xdr:rowOff>207455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7C891C4-88FF-CF91-BC86-8466EDF2E130}"/>
            </a:ext>
          </a:extLst>
        </xdr:cNvPr>
        <xdr:cNvSpPr/>
      </xdr:nvSpPr>
      <xdr:spPr>
        <a:xfrm>
          <a:off x="47625" y="0"/>
          <a:ext cx="2085975" cy="8456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glow rad="127000">
                  <a:srgbClr val="7030A0"/>
                </a:glow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LION</a:t>
          </a:r>
          <a:r>
            <a:rPr lang="pt-BR" sz="2400" b="1" baseline="0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 </a:t>
          </a:r>
          <a:r>
            <a:rPr lang="pt-BR" sz="2400" b="1" baseline="0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glow rad="127000">
                  <a:srgbClr val="7030A0"/>
                </a:glow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APP</a:t>
          </a:r>
          <a:endParaRPr lang="pt-BR" sz="2400" b="1">
            <a:ln>
              <a:noFill/>
            </a:ln>
            <a:gradFill flip="none" rotWithShape="1">
              <a:gsLst>
                <a:gs pos="70000">
                  <a:srgbClr val="FF3399"/>
                </a:gs>
                <a:gs pos="1000">
                  <a:schemeClr val="bg1"/>
                </a:gs>
                <a:gs pos="100000">
                  <a:srgbClr val="993366"/>
                </a:gs>
              </a:gsLst>
              <a:lin ang="5400000" scaled="1"/>
              <a:tileRect/>
            </a:gradFill>
            <a:effectLst>
              <a:glow rad="127000">
                <a:srgbClr val="7030A0"/>
              </a:glow>
              <a:outerShdw blurRad="60007" dist="200025" dir="15000000" sy="30000" kx="-1800000" algn="bl" rotWithShape="0">
                <a:prstClr val="black">
                  <a:alpha val="32000"/>
                </a:prstClr>
              </a:outerShdw>
            </a:effectLst>
            <a:latin typeface="Berlin Sans FB Demi" panose="020E0802020502020306" pitchFamily="34" charset="0"/>
          </a:endParaRPr>
        </a:p>
      </xdr:txBody>
    </xdr:sp>
    <xdr:clientData/>
  </xdr:twoCellAnchor>
  <xdr:twoCellAnchor editAs="absolute">
    <xdr:from>
      <xdr:col>0</xdr:col>
      <xdr:colOff>76200</xdr:colOff>
      <xdr:row>11</xdr:row>
      <xdr:rowOff>25169</xdr:rowOff>
    </xdr:from>
    <xdr:to>
      <xdr:col>0</xdr:col>
      <xdr:colOff>2105025</xdr:colOff>
      <xdr:row>13</xdr:row>
      <xdr:rowOff>6119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C3C3D4-4798-BC9F-2CC9-A7FE5C864A04}"/>
            </a:ext>
          </a:extLst>
        </xdr:cNvPr>
        <xdr:cNvSpPr/>
      </xdr:nvSpPr>
      <xdr:spPr>
        <a:xfrm>
          <a:off x="76200" y="2292119"/>
          <a:ext cx="2028825" cy="361950"/>
        </a:xfrm>
        <a:prstGeom prst="roundRect">
          <a:avLst/>
        </a:prstGeom>
        <a:gradFill>
          <a:gsLst>
            <a:gs pos="6000">
              <a:srgbClr val="FF3399">
                <a:alpha val="88000"/>
                <a:lumMod val="82000"/>
                <a:lumOff val="18000"/>
              </a:srgbClr>
            </a:gs>
            <a:gs pos="85000">
              <a:srgbClr val="993366"/>
            </a:gs>
          </a:gsLst>
          <a:lin ang="5400000" scaled="1"/>
        </a:gra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13</xdr:row>
      <xdr:rowOff>84022</xdr:rowOff>
    </xdr:from>
    <xdr:to>
      <xdr:col>0</xdr:col>
      <xdr:colOff>2105025</xdr:colOff>
      <xdr:row>15</xdr:row>
      <xdr:rowOff>64972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D454C3-463F-4757-9E10-768F1664D0F9}"/>
            </a:ext>
          </a:extLst>
        </xdr:cNvPr>
        <xdr:cNvSpPr/>
      </xdr:nvSpPr>
      <xdr:spPr>
        <a:xfrm>
          <a:off x="76200" y="2731972"/>
          <a:ext cx="20288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15</xdr:row>
      <xdr:rowOff>142875</xdr:rowOff>
    </xdr:from>
    <xdr:to>
      <xdr:col>0</xdr:col>
      <xdr:colOff>2105025</xdr:colOff>
      <xdr:row>17</xdr:row>
      <xdr:rowOff>123825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35E760-1FBC-43A7-8B13-2D9E104496FE}"/>
            </a:ext>
          </a:extLst>
        </xdr:cNvPr>
        <xdr:cNvSpPr/>
      </xdr:nvSpPr>
      <xdr:spPr>
        <a:xfrm>
          <a:off x="76200" y="3171825"/>
          <a:ext cx="20288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80962</xdr:colOff>
      <xdr:row>19</xdr:row>
      <xdr:rowOff>9525</xdr:rowOff>
    </xdr:from>
    <xdr:to>
      <xdr:col>0</xdr:col>
      <xdr:colOff>2100262</xdr:colOff>
      <xdr:row>21</xdr:row>
      <xdr:rowOff>114300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201A9974-E977-61C8-6294-ABCD0CD43831}"/>
            </a:ext>
          </a:extLst>
        </xdr:cNvPr>
        <xdr:cNvSpPr/>
      </xdr:nvSpPr>
      <xdr:spPr>
        <a:xfrm>
          <a:off x="80962" y="3800475"/>
          <a:ext cx="2019300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2">
                  <a:lumMod val="75000"/>
                </a:schemeClr>
              </a:solidFill>
            </a:rPr>
            <a:t>SYSTEMS BY GABYY </a:t>
          </a:r>
          <a:r>
            <a:rPr lang="pt-BR" sz="1400" b="1">
              <a:solidFill>
                <a:srgbClr val="FF3399"/>
              </a:solidFill>
            </a:rPr>
            <a:t>🎗</a:t>
          </a:r>
        </a:p>
      </xdr:txBody>
    </xdr:sp>
    <xdr:clientData/>
  </xdr:twoCellAnchor>
  <xdr:twoCellAnchor editAs="absolute">
    <xdr:from>
      <xdr:col>0</xdr:col>
      <xdr:colOff>66675</xdr:colOff>
      <xdr:row>19</xdr:row>
      <xdr:rowOff>171450</xdr:rowOff>
    </xdr:from>
    <xdr:to>
      <xdr:col>0</xdr:col>
      <xdr:colOff>2076450</xdr:colOff>
      <xdr:row>19</xdr:row>
      <xdr:rowOff>171450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21796A8D-ABF2-EF76-367F-8BF7526BA60B}"/>
            </a:ext>
          </a:extLst>
        </xdr:cNvPr>
        <xdr:cNvCxnSpPr/>
      </xdr:nvCxnSpPr>
      <xdr:spPr>
        <a:xfrm>
          <a:off x="66675" y="3886200"/>
          <a:ext cx="2009775" cy="0"/>
        </a:xfrm>
        <a:prstGeom prst="line">
          <a:avLst/>
        </a:prstGeom>
        <a:ln w="38100">
          <a:solidFill>
            <a:srgbClr val="993366"/>
          </a:solidFill>
          <a:prstDash val="sys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812800</xdr:colOff>
      <xdr:row>21</xdr:row>
      <xdr:rowOff>146050</xdr:rowOff>
    </xdr:from>
    <xdr:to>
      <xdr:col>0</xdr:col>
      <xdr:colOff>1329759</xdr:colOff>
      <xdr:row>24</xdr:row>
      <xdr:rowOff>117475</xdr:rowOff>
    </xdr:to>
    <xdr:pic>
      <xdr:nvPicPr>
        <xdr:cNvPr id="13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77726B-2131-9A2B-7E03-FAB54E0A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2800" y="4318000"/>
          <a:ext cx="516959" cy="542925"/>
        </a:xfrm>
        <a:prstGeom prst="rect">
          <a:avLst/>
        </a:prstGeom>
      </xdr:spPr>
    </xdr:pic>
    <xdr:clientData/>
  </xdr:twoCellAnchor>
  <xdr:twoCellAnchor editAs="absolute">
    <xdr:from>
      <xdr:col>2</xdr:col>
      <xdr:colOff>2695575</xdr:colOff>
      <xdr:row>19</xdr:row>
      <xdr:rowOff>38100</xdr:rowOff>
    </xdr:from>
    <xdr:to>
      <xdr:col>4</xdr:col>
      <xdr:colOff>38100</xdr:colOff>
      <xdr:row>21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5F0E71-8C25-C06D-2B11-226F83706A0E}"/>
            </a:ext>
          </a:extLst>
        </xdr:cNvPr>
        <xdr:cNvSpPr/>
      </xdr:nvSpPr>
      <xdr:spPr>
        <a:xfrm>
          <a:off x="5476875" y="3829050"/>
          <a:ext cx="2895600" cy="371475"/>
        </a:xfrm>
        <a:prstGeom prst="roundRect">
          <a:avLst/>
        </a:prstGeom>
        <a:solidFill>
          <a:srgbClr val="FF3399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PRÓXIMO 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3</xdr:row>
      <xdr:rowOff>209157</xdr:rowOff>
    </xdr:from>
    <xdr:to>
      <xdr:col>0</xdr:col>
      <xdr:colOff>1838325</xdr:colOff>
      <xdr:row>10</xdr:row>
      <xdr:rowOff>185392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1BF663-D1A3-4FE4-9465-CBA68D701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847332"/>
          <a:ext cx="1495425" cy="1443085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0</xdr:rowOff>
    </xdr:from>
    <xdr:to>
      <xdr:col>0</xdr:col>
      <xdr:colOff>2133600</xdr:colOff>
      <xdr:row>3</xdr:row>
      <xdr:rowOff>207455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5C8D891-CEDC-4B9D-B3D7-6A8EE88C48AD}"/>
            </a:ext>
          </a:extLst>
        </xdr:cNvPr>
        <xdr:cNvSpPr/>
      </xdr:nvSpPr>
      <xdr:spPr>
        <a:xfrm>
          <a:off x="47625" y="0"/>
          <a:ext cx="2085975" cy="8456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glow rad="127000">
                  <a:srgbClr val="7030A0"/>
                </a:glow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LION</a:t>
          </a:r>
          <a:r>
            <a:rPr lang="pt-BR" sz="2400" b="1" baseline="0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 </a:t>
          </a:r>
          <a:r>
            <a:rPr lang="pt-BR" sz="2400" b="1" baseline="0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glow rad="127000">
                  <a:srgbClr val="7030A0"/>
                </a:glow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APP</a:t>
          </a:r>
          <a:endParaRPr lang="pt-BR" sz="2400" b="1">
            <a:ln>
              <a:noFill/>
            </a:ln>
            <a:gradFill flip="none" rotWithShape="1">
              <a:gsLst>
                <a:gs pos="70000">
                  <a:srgbClr val="FF3399"/>
                </a:gs>
                <a:gs pos="1000">
                  <a:schemeClr val="bg1"/>
                </a:gs>
                <a:gs pos="100000">
                  <a:srgbClr val="993366"/>
                </a:gs>
              </a:gsLst>
              <a:lin ang="5400000" scaled="1"/>
              <a:tileRect/>
            </a:gradFill>
            <a:effectLst>
              <a:glow rad="127000">
                <a:srgbClr val="7030A0"/>
              </a:glow>
              <a:outerShdw blurRad="60007" dist="200025" dir="15000000" sy="30000" kx="-1800000" algn="bl" rotWithShape="0">
                <a:prstClr val="black">
                  <a:alpha val="32000"/>
                </a:prstClr>
              </a:outerShdw>
            </a:effectLst>
            <a:latin typeface="Berlin Sans FB Demi" panose="020E0802020502020306" pitchFamily="34" charset="0"/>
          </a:endParaRPr>
        </a:p>
      </xdr:txBody>
    </xdr:sp>
    <xdr:clientData/>
  </xdr:twoCellAnchor>
  <xdr:twoCellAnchor editAs="absolute">
    <xdr:from>
      <xdr:col>0</xdr:col>
      <xdr:colOff>76200</xdr:colOff>
      <xdr:row>10</xdr:row>
      <xdr:rowOff>187094</xdr:rowOff>
    </xdr:from>
    <xdr:to>
      <xdr:col>0</xdr:col>
      <xdr:colOff>2105025</xdr:colOff>
      <xdr:row>12</xdr:row>
      <xdr:rowOff>168044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1AAB23-3426-4648-AAD5-9FEC0BD4751C}"/>
            </a:ext>
          </a:extLst>
        </xdr:cNvPr>
        <xdr:cNvSpPr/>
      </xdr:nvSpPr>
      <xdr:spPr>
        <a:xfrm>
          <a:off x="76200" y="2292119"/>
          <a:ext cx="20288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13</xdr:row>
      <xdr:rowOff>55447</xdr:rowOff>
    </xdr:from>
    <xdr:to>
      <xdr:col>0</xdr:col>
      <xdr:colOff>2105025</xdr:colOff>
      <xdr:row>15</xdr:row>
      <xdr:rowOff>36397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C0ED40-ACF7-48DF-B4E8-FFE0B7B818EA}"/>
            </a:ext>
          </a:extLst>
        </xdr:cNvPr>
        <xdr:cNvSpPr/>
      </xdr:nvSpPr>
      <xdr:spPr>
        <a:xfrm>
          <a:off x="76200" y="2731972"/>
          <a:ext cx="2028825" cy="361950"/>
        </a:xfrm>
        <a:prstGeom prst="roundRect">
          <a:avLst/>
        </a:prstGeom>
        <a:gradFill>
          <a:gsLst>
            <a:gs pos="21000">
              <a:srgbClr val="FF3399">
                <a:alpha val="88000"/>
                <a:lumMod val="82000"/>
                <a:lumOff val="18000"/>
              </a:srgbClr>
            </a:gs>
            <a:gs pos="85000">
              <a:srgbClr val="993366"/>
            </a:gs>
          </a:gsLst>
          <a:lin ang="5400000" scaled="1"/>
        </a:gra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15</xdr:row>
      <xdr:rowOff>114300</xdr:rowOff>
    </xdr:from>
    <xdr:to>
      <xdr:col>0</xdr:col>
      <xdr:colOff>2105025</xdr:colOff>
      <xdr:row>17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1536DA-66AC-4444-B25F-73B7A5DBA705}"/>
            </a:ext>
          </a:extLst>
        </xdr:cNvPr>
        <xdr:cNvSpPr/>
      </xdr:nvSpPr>
      <xdr:spPr>
        <a:xfrm>
          <a:off x="76200" y="3171825"/>
          <a:ext cx="20288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80962</xdr:colOff>
      <xdr:row>18</xdr:row>
      <xdr:rowOff>171450</xdr:rowOff>
    </xdr:from>
    <xdr:to>
      <xdr:col>0</xdr:col>
      <xdr:colOff>2100262</xdr:colOff>
      <xdr:row>21</xdr:row>
      <xdr:rowOff>85725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E67CE36-B3CD-405F-889C-E304A1E5E21E}"/>
            </a:ext>
          </a:extLst>
        </xdr:cNvPr>
        <xdr:cNvSpPr/>
      </xdr:nvSpPr>
      <xdr:spPr>
        <a:xfrm>
          <a:off x="80962" y="3800475"/>
          <a:ext cx="2019300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2">
                  <a:lumMod val="75000"/>
                </a:schemeClr>
              </a:solidFill>
            </a:rPr>
            <a:t>SYSTEMS BY GABYY </a:t>
          </a:r>
          <a:r>
            <a:rPr lang="pt-BR" sz="1400" b="1">
              <a:solidFill>
                <a:srgbClr val="FF3399"/>
              </a:solidFill>
            </a:rPr>
            <a:t>🎗</a:t>
          </a:r>
        </a:p>
      </xdr:txBody>
    </xdr:sp>
    <xdr:clientData/>
  </xdr:twoCellAnchor>
  <xdr:twoCellAnchor editAs="absolute">
    <xdr:from>
      <xdr:col>0</xdr:col>
      <xdr:colOff>66675</xdr:colOff>
      <xdr:row>19</xdr:row>
      <xdr:rowOff>66675</xdr:rowOff>
    </xdr:from>
    <xdr:to>
      <xdr:col>0</xdr:col>
      <xdr:colOff>2076450</xdr:colOff>
      <xdr:row>19</xdr:row>
      <xdr:rowOff>66675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2166B22-F621-49DE-9CA3-BC0E9A336E9C}"/>
            </a:ext>
          </a:extLst>
        </xdr:cNvPr>
        <xdr:cNvCxnSpPr/>
      </xdr:nvCxnSpPr>
      <xdr:spPr>
        <a:xfrm>
          <a:off x="66675" y="3886200"/>
          <a:ext cx="2009775" cy="0"/>
        </a:xfrm>
        <a:prstGeom prst="line">
          <a:avLst/>
        </a:prstGeom>
        <a:ln w="38100">
          <a:solidFill>
            <a:srgbClr val="993366"/>
          </a:solidFill>
          <a:prstDash val="sys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812800</xdr:colOff>
      <xdr:row>21</xdr:row>
      <xdr:rowOff>117475</xdr:rowOff>
    </xdr:from>
    <xdr:to>
      <xdr:col>0</xdr:col>
      <xdr:colOff>1329759</xdr:colOff>
      <xdr:row>24</xdr:row>
      <xdr:rowOff>88900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D3B646-9F76-49BA-B2D1-6ECD1CAB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2800" y="4318000"/>
          <a:ext cx="516959" cy="542925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</xdr:colOff>
      <xdr:row>26</xdr:row>
      <xdr:rowOff>157162</xdr:rowOff>
    </xdr:from>
    <xdr:to>
      <xdr:col>3</xdr:col>
      <xdr:colOff>28575</xdr:colOff>
      <xdr:row>28</xdr:row>
      <xdr:rowOff>146962</xdr:rowOff>
    </xdr:to>
    <xdr:sp macro="" textlink="">
      <xdr:nvSpPr>
        <xdr:cNvPr id="25" name="Retângulo: Cantos Arredondados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A7620B-1743-48C7-9B7E-28437A6DADCA}"/>
            </a:ext>
          </a:extLst>
        </xdr:cNvPr>
        <xdr:cNvSpPr/>
      </xdr:nvSpPr>
      <xdr:spPr>
        <a:xfrm>
          <a:off x="2790825" y="5310187"/>
          <a:ext cx="2743200" cy="370800"/>
        </a:xfrm>
        <a:prstGeom prst="roundRect">
          <a:avLst/>
        </a:prstGeom>
        <a:solidFill>
          <a:srgbClr val="FF3399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&lt;--</a:t>
          </a:r>
          <a:r>
            <a:rPr lang="pt-BR" sz="1100" b="1" baseline="0">
              <a:solidFill>
                <a:schemeClr val="bg1"/>
              </a:solidFill>
            </a:rPr>
            <a:t>  </a:t>
          </a:r>
          <a:r>
            <a:rPr lang="pt-BR" sz="1100" b="1">
              <a:solidFill>
                <a:schemeClr val="bg1"/>
              </a:solidFill>
            </a:rPr>
            <a:t>ANTERIOR</a:t>
          </a:r>
        </a:p>
      </xdr:txBody>
    </xdr:sp>
    <xdr:clientData/>
  </xdr:twoCellAnchor>
  <xdr:twoCellAnchor editAs="absolute">
    <xdr:from>
      <xdr:col>3</xdr:col>
      <xdr:colOff>95251</xdr:colOff>
      <xdr:row>26</xdr:row>
      <xdr:rowOff>157162</xdr:rowOff>
    </xdr:from>
    <xdr:to>
      <xdr:col>4</xdr:col>
      <xdr:colOff>65474</xdr:colOff>
      <xdr:row>28</xdr:row>
      <xdr:rowOff>146962</xdr:rowOff>
    </xdr:to>
    <xdr:sp macro="" textlink="">
      <xdr:nvSpPr>
        <xdr:cNvPr id="26" name="Retângulo: Cantos Arredondados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C08726-AFD1-4097-A124-FC3A5935AE40}"/>
            </a:ext>
          </a:extLst>
        </xdr:cNvPr>
        <xdr:cNvSpPr/>
      </xdr:nvSpPr>
      <xdr:spPr>
        <a:xfrm>
          <a:off x="5600701" y="5310187"/>
          <a:ext cx="2799148" cy="370800"/>
        </a:xfrm>
        <a:prstGeom prst="roundRect">
          <a:avLst/>
        </a:prstGeom>
        <a:solidFill>
          <a:srgbClr val="FF3399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PRÓXIMO 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3</xdr:row>
      <xdr:rowOff>209157</xdr:rowOff>
    </xdr:from>
    <xdr:to>
      <xdr:col>0</xdr:col>
      <xdr:colOff>1838325</xdr:colOff>
      <xdr:row>11</xdr:row>
      <xdr:rowOff>23467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E27290-AEDF-4369-B218-0DC697BA0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847332"/>
          <a:ext cx="1495425" cy="1443085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0</xdr:rowOff>
    </xdr:from>
    <xdr:to>
      <xdr:col>0</xdr:col>
      <xdr:colOff>2133600</xdr:colOff>
      <xdr:row>3</xdr:row>
      <xdr:rowOff>207455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B41783E-3196-41F4-A7CB-E968A459F939}"/>
            </a:ext>
          </a:extLst>
        </xdr:cNvPr>
        <xdr:cNvSpPr/>
      </xdr:nvSpPr>
      <xdr:spPr>
        <a:xfrm>
          <a:off x="47625" y="0"/>
          <a:ext cx="2085975" cy="8456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glow rad="127000">
                  <a:srgbClr val="7030A0"/>
                </a:glow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LION</a:t>
          </a:r>
          <a:r>
            <a:rPr lang="pt-BR" sz="2400" b="1" baseline="0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 </a:t>
          </a:r>
          <a:r>
            <a:rPr lang="pt-BR" sz="2400" b="1" baseline="0">
              <a:ln>
                <a:noFill/>
              </a:ln>
              <a:gradFill flip="none" rotWithShape="1">
                <a:gsLst>
                  <a:gs pos="70000">
                    <a:srgbClr val="FF3399"/>
                  </a:gs>
                  <a:gs pos="1000">
                    <a:schemeClr val="bg1"/>
                  </a:gs>
                  <a:gs pos="100000">
                    <a:srgbClr val="993366"/>
                  </a:gs>
                </a:gsLst>
                <a:lin ang="5400000" scaled="1"/>
                <a:tileRect/>
              </a:gradFill>
              <a:effectLst>
                <a:glow rad="127000">
                  <a:srgbClr val="7030A0"/>
                </a:glow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Berlin Sans FB Demi" panose="020E0802020502020306" pitchFamily="34" charset="0"/>
            </a:rPr>
            <a:t>APP</a:t>
          </a:r>
          <a:endParaRPr lang="pt-BR" sz="2400" b="1">
            <a:ln>
              <a:noFill/>
            </a:ln>
            <a:gradFill flip="none" rotWithShape="1">
              <a:gsLst>
                <a:gs pos="70000">
                  <a:srgbClr val="FF3399"/>
                </a:gs>
                <a:gs pos="1000">
                  <a:schemeClr val="bg1"/>
                </a:gs>
                <a:gs pos="100000">
                  <a:srgbClr val="993366"/>
                </a:gs>
              </a:gsLst>
              <a:lin ang="5400000" scaled="1"/>
              <a:tileRect/>
            </a:gradFill>
            <a:effectLst>
              <a:glow rad="127000">
                <a:srgbClr val="7030A0"/>
              </a:glow>
              <a:outerShdw blurRad="60007" dist="200025" dir="15000000" sy="30000" kx="-1800000" algn="bl" rotWithShape="0">
                <a:prstClr val="black">
                  <a:alpha val="32000"/>
                </a:prstClr>
              </a:outerShdw>
            </a:effectLst>
            <a:latin typeface="Berlin Sans FB Demi" panose="020E0802020502020306" pitchFamily="34" charset="0"/>
          </a:endParaRPr>
        </a:p>
      </xdr:txBody>
    </xdr:sp>
    <xdr:clientData/>
  </xdr:twoCellAnchor>
  <xdr:twoCellAnchor editAs="absolute">
    <xdr:from>
      <xdr:col>0</xdr:col>
      <xdr:colOff>76200</xdr:colOff>
      <xdr:row>11</xdr:row>
      <xdr:rowOff>25169</xdr:rowOff>
    </xdr:from>
    <xdr:to>
      <xdr:col>0</xdr:col>
      <xdr:colOff>2105025</xdr:colOff>
      <xdr:row>13</xdr:row>
      <xdr:rowOff>6119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2771EB-B72E-42EE-8DC0-D008D6DD5F1A}"/>
            </a:ext>
          </a:extLst>
        </xdr:cNvPr>
        <xdr:cNvSpPr/>
      </xdr:nvSpPr>
      <xdr:spPr>
        <a:xfrm>
          <a:off x="76200" y="2292119"/>
          <a:ext cx="20288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13</xdr:row>
      <xdr:rowOff>84022</xdr:rowOff>
    </xdr:from>
    <xdr:to>
      <xdr:col>0</xdr:col>
      <xdr:colOff>2105025</xdr:colOff>
      <xdr:row>15</xdr:row>
      <xdr:rowOff>64972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D49703-5C66-49F2-A446-215428D5EC9A}"/>
            </a:ext>
          </a:extLst>
        </xdr:cNvPr>
        <xdr:cNvSpPr/>
      </xdr:nvSpPr>
      <xdr:spPr>
        <a:xfrm>
          <a:off x="76200" y="2731972"/>
          <a:ext cx="20288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15</xdr:row>
      <xdr:rowOff>142875</xdr:rowOff>
    </xdr:from>
    <xdr:to>
      <xdr:col>0</xdr:col>
      <xdr:colOff>2105025</xdr:colOff>
      <xdr:row>17</xdr:row>
      <xdr:rowOff>123825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CDFF91-127D-4A82-8B3A-5D506A5C4A3C}"/>
            </a:ext>
          </a:extLst>
        </xdr:cNvPr>
        <xdr:cNvSpPr/>
      </xdr:nvSpPr>
      <xdr:spPr>
        <a:xfrm>
          <a:off x="76200" y="3171825"/>
          <a:ext cx="2028825" cy="361950"/>
        </a:xfrm>
        <a:prstGeom prst="roundRect">
          <a:avLst/>
        </a:prstGeom>
        <a:gradFill>
          <a:gsLst>
            <a:gs pos="21000">
              <a:srgbClr val="FF3399">
                <a:alpha val="88000"/>
                <a:lumMod val="82000"/>
                <a:lumOff val="18000"/>
              </a:srgbClr>
            </a:gs>
            <a:gs pos="85000">
              <a:srgbClr val="993366"/>
            </a:gs>
          </a:gsLst>
          <a:lin ang="5400000" scaled="1"/>
        </a:gra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80962</xdr:colOff>
      <xdr:row>19</xdr:row>
      <xdr:rowOff>9525</xdr:rowOff>
    </xdr:from>
    <xdr:to>
      <xdr:col>0</xdr:col>
      <xdr:colOff>2100262</xdr:colOff>
      <xdr:row>21</xdr:row>
      <xdr:rowOff>114300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98F593C-B731-481F-B5BC-41F84C863C01}"/>
            </a:ext>
          </a:extLst>
        </xdr:cNvPr>
        <xdr:cNvSpPr/>
      </xdr:nvSpPr>
      <xdr:spPr>
        <a:xfrm>
          <a:off x="80962" y="3800475"/>
          <a:ext cx="2019300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2">
                  <a:lumMod val="75000"/>
                </a:schemeClr>
              </a:solidFill>
            </a:rPr>
            <a:t>SYSTEMS BY GABYY </a:t>
          </a:r>
          <a:r>
            <a:rPr lang="pt-BR" sz="1400" b="1">
              <a:solidFill>
                <a:srgbClr val="FF3399"/>
              </a:solidFill>
            </a:rPr>
            <a:t>🎗</a:t>
          </a:r>
        </a:p>
      </xdr:txBody>
    </xdr:sp>
    <xdr:clientData/>
  </xdr:twoCellAnchor>
  <xdr:twoCellAnchor editAs="absolute">
    <xdr:from>
      <xdr:col>0</xdr:col>
      <xdr:colOff>66675</xdr:colOff>
      <xdr:row>19</xdr:row>
      <xdr:rowOff>95250</xdr:rowOff>
    </xdr:from>
    <xdr:to>
      <xdr:col>0</xdr:col>
      <xdr:colOff>2076450</xdr:colOff>
      <xdr:row>19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C29869C-7410-4657-93BA-B7A211577932}"/>
            </a:ext>
          </a:extLst>
        </xdr:cNvPr>
        <xdr:cNvCxnSpPr/>
      </xdr:nvCxnSpPr>
      <xdr:spPr>
        <a:xfrm>
          <a:off x="66675" y="3886200"/>
          <a:ext cx="2009775" cy="0"/>
        </a:xfrm>
        <a:prstGeom prst="line">
          <a:avLst/>
        </a:prstGeom>
        <a:ln w="38100">
          <a:solidFill>
            <a:srgbClr val="993366"/>
          </a:solidFill>
          <a:prstDash val="sys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812800</xdr:colOff>
      <xdr:row>21</xdr:row>
      <xdr:rowOff>146050</xdr:rowOff>
    </xdr:from>
    <xdr:to>
      <xdr:col>0</xdr:col>
      <xdr:colOff>1329759</xdr:colOff>
      <xdr:row>24</xdr:row>
      <xdr:rowOff>117475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441C1D-2DAB-4AB7-8C17-9311B1D49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2800" y="4318000"/>
          <a:ext cx="516959" cy="542925"/>
        </a:xfrm>
        <a:prstGeom prst="rect">
          <a:avLst/>
        </a:prstGeom>
      </xdr:spPr>
    </xdr:pic>
    <xdr:clientData/>
  </xdr:twoCellAnchor>
  <xdr:twoCellAnchor editAs="absolute">
    <xdr:from>
      <xdr:col>2</xdr:col>
      <xdr:colOff>1</xdr:colOff>
      <xdr:row>4</xdr:row>
      <xdr:rowOff>47626</xdr:rowOff>
    </xdr:from>
    <xdr:to>
      <xdr:col>3</xdr:col>
      <xdr:colOff>876301</xdr:colOff>
      <xdr:row>5</xdr:row>
      <xdr:rowOff>28576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F4ECE3-40DB-4333-817F-175DED44FDA3}"/>
            </a:ext>
          </a:extLst>
        </xdr:cNvPr>
        <xdr:cNvSpPr/>
      </xdr:nvSpPr>
      <xdr:spPr>
        <a:xfrm>
          <a:off x="2781301" y="981076"/>
          <a:ext cx="2057400" cy="171450"/>
        </a:xfrm>
        <a:prstGeom prst="roundRect">
          <a:avLst/>
        </a:prstGeom>
        <a:solidFill>
          <a:srgbClr val="FF3399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&lt;--</a:t>
          </a:r>
          <a:r>
            <a:rPr lang="pt-BR" sz="1000" b="1" baseline="0">
              <a:solidFill>
                <a:schemeClr val="bg1"/>
              </a:solidFill>
            </a:rPr>
            <a:t>  </a:t>
          </a:r>
          <a:r>
            <a:rPr lang="pt-BR" sz="1000" b="1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1CAD6F-A388-4123-8EFB-C05821F69498}" name="Tabela1" displayName="Tabela1" ref="C11:E37" totalsRowShown="0" headerRowDxfId="8" dataDxfId="7" headerRowCellStyle="Ruim">
  <autoFilter ref="C11:E37" xr:uid="{AD1CAD6F-A388-4123-8EFB-C05821F69498}"/>
  <tableColumns count="3">
    <tableColumn id="1" xr3:uid="{0594ADB6-1E19-46F3-B747-CBC69EB12DD8}" name="DATA" dataDxfId="6"/>
    <tableColumn id="2" xr3:uid="{81A75D98-9A4F-4F09-A7B4-C6221B5370D9}" name="CATEGORIA" dataDxfId="5"/>
    <tableColumn id="3" xr3:uid="{AAD03CC7-48F3-47BA-98F6-6FD1EC680A67}" name="VALOR" dataDxfId="4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CDC06-B007-47D8-B766-29A7BED818AB}" name="Tabela2" displayName="Tabela2" ref="G11:J22" headerRowCount="0" totalsRowShown="0">
  <tableColumns count="4">
    <tableColumn id="1" xr3:uid="{6667999A-7F12-4503-B8C0-3ED28F0536BD}" name="Coluna1"/>
    <tableColumn id="2" xr3:uid="{1641192E-8EAD-4F8F-AB61-DBDAFEE147F0}" name="Gastos Fixos" dataDxfId="3"/>
    <tableColumn id="3" xr3:uid="{E8D4B408-B3C8-4FC7-A429-23B3E3023A12}" name="Gastos Variáveis" dataDxfId="1"/>
    <tableColumn id="4" xr3:uid="{722017AE-F55D-4B4F-92B0-2A6E922C02DF}" name="TOTAL DE SAÍDAS" dataDxfId="0">
      <calculatedColumnFormula>SUM(H11,I11)</calculatedColumnFormula>
    </tableColumn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briellysa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BF8A-1535-4711-9D66-DF36029862D1}">
  <sheetPr codeName="Planilha1"/>
  <dimension ref="A3:E18"/>
  <sheetViews>
    <sheetView showGridLines="0" workbookViewId="0">
      <selection activeCell="C1" sqref="C1"/>
    </sheetView>
  </sheetViews>
  <sheetFormatPr defaultRowHeight="15" x14ac:dyDescent="0.25"/>
  <cols>
    <col min="1" max="1" width="32.5703125" style="1" customWidth="1"/>
    <col min="3" max="3" width="40.85546875" customWidth="1"/>
    <col min="4" max="4" width="42.42578125" customWidth="1"/>
  </cols>
  <sheetData>
    <row r="3" spans="3:5" ht="20.25" thickBot="1" x14ac:dyDescent="0.35">
      <c r="C3" s="3" t="s">
        <v>13</v>
      </c>
      <c r="D3" s="4"/>
      <c r="E3" s="4"/>
    </row>
    <row r="4" spans="3:5" ht="23.25" customHeight="1" thickTop="1" x14ac:dyDescent="0.25">
      <c r="C4" s="21" t="s">
        <v>14</v>
      </c>
      <c r="D4" s="21"/>
      <c r="E4" s="21"/>
    </row>
    <row r="6" spans="3:5" x14ac:dyDescent="0.25">
      <c r="C6" s="2" t="s">
        <v>0</v>
      </c>
      <c r="D6" s="8" t="s">
        <v>17</v>
      </c>
    </row>
    <row r="7" spans="3:5" x14ac:dyDescent="0.25">
      <c r="C7" s="2" t="s">
        <v>1</v>
      </c>
      <c r="D7" s="9">
        <v>11145669823</v>
      </c>
    </row>
    <row r="8" spans="3:5" x14ac:dyDescent="0.25">
      <c r="C8" s="2" t="s">
        <v>2</v>
      </c>
      <c r="D8" s="10">
        <v>33026</v>
      </c>
    </row>
    <row r="9" spans="3:5" x14ac:dyDescent="0.25">
      <c r="C9" s="2" t="s">
        <v>3</v>
      </c>
      <c r="D9" s="8">
        <v>3365897245</v>
      </c>
    </row>
    <row r="10" spans="3:5" x14ac:dyDescent="0.25">
      <c r="C10" s="2" t="s">
        <v>4</v>
      </c>
      <c r="D10" s="8" t="s">
        <v>18</v>
      </c>
    </row>
    <row r="11" spans="3:5" x14ac:dyDescent="0.25">
      <c r="C11" s="2" t="s">
        <v>5</v>
      </c>
      <c r="D11" s="8" t="s">
        <v>19</v>
      </c>
    </row>
    <row r="12" spans="3:5" x14ac:dyDescent="0.25">
      <c r="C12" s="2" t="s">
        <v>6</v>
      </c>
      <c r="D12" s="11">
        <v>84076543</v>
      </c>
    </row>
    <row r="13" spans="3:5" x14ac:dyDescent="0.25">
      <c r="C13" s="2" t="s">
        <v>7</v>
      </c>
      <c r="D13" s="12">
        <v>115339397</v>
      </c>
    </row>
    <row r="14" spans="3:5" x14ac:dyDescent="0.25">
      <c r="C14" s="2" t="s">
        <v>8</v>
      </c>
      <c r="D14" s="13">
        <v>4588972286</v>
      </c>
    </row>
    <row r="15" spans="3:5" x14ac:dyDescent="0.25">
      <c r="C15" s="2" t="s">
        <v>9</v>
      </c>
      <c r="D15" s="14" t="s">
        <v>20</v>
      </c>
    </row>
    <row r="16" spans="3:5" x14ac:dyDescent="0.25">
      <c r="C16" s="2" t="s">
        <v>10</v>
      </c>
      <c r="D16" s="15" t="s">
        <v>15</v>
      </c>
    </row>
    <row r="17" spans="3:4" x14ac:dyDescent="0.25">
      <c r="C17" s="2" t="s">
        <v>11</v>
      </c>
      <c r="D17" s="15" t="s">
        <v>16</v>
      </c>
    </row>
    <row r="18" spans="3:4" x14ac:dyDescent="0.25">
      <c r="C18" s="2" t="s">
        <v>12</v>
      </c>
      <c r="D18" s="15" t="s">
        <v>15</v>
      </c>
    </row>
  </sheetData>
  <mergeCells count="1">
    <mergeCell ref="C4:E4"/>
  </mergeCells>
  <dataValidations count="1">
    <dataValidation type="list" allowBlank="1" showInputMessage="1" showErrorMessage="1" sqref="D16:D18" xr:uid="{FA458C39-97C9-41CE-B661-2A2C8742D93F}">
      <formula1>"SIM,NÃO"</formula1>
    </dataValidation>
  </dataValidations>
  <hyperlinks>
    <hyperlink ref="D15" r:id="rId1" xr:uid="{CD25C330-9AFB-47D7-89E0-86CDB5126D5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3988-89FB-441C-92A4-C5D437733C57}">
  <sheetPr codeName="Planilha2"/>
  <dimension ref="A3:E22"/>
  <sheetViews>
    <sheetView showGridLines="0" workbookViewId="0">
      <selection activeCell="E15" sqref="E15"/>
    </sheetView>
  </sheetViews>
  <sheetFormatPr defaultRowHeight="15" x14ac:dyDescent="0.25"/>
  <cols>
    <col min="1" max="1" width="32.5703125" style="1" customWidth="1"/>
    <col min="3" max="3" width="40.85546875" customWidth="1"/>
    <col min="4" max="4" width="42.42578125" customWidth="1"/>
  </cols>
  <sheetData>
    <row r="3" spans="3:5" ht="20.25" thickBot="1" x14ac:dyDescent="0.35">
      <c r="C3" s="3" t="s">
        <v>21</v>
      </c>
      <c r="D3" s="4"/>
      <c r="E3" s="4"/>
    </row>
    <row r="4" spans="3:5" ht="23.25" customHeight="1" thickTop="1" x14ac:dyDescent="0.25">
      <c r="C4" s="21" t="s">
        <v>22</v>
      </c>
      <c r="D4" s="21"/>
      <c r="E4" s="21"/>
    </row>
    <row r="6" spans="3:5" ht="17.25" x14ac:dyDescent="0.25">
      <c r="C6" s="6" t="s">
        <v>79</v>
      </c>
    </row>
    <row r="7" spans="3:5" x14ac:dyDescent="0.25">
      <c r="C7" s="52">
        <f>SUM(D11,D16,D21)</f>
        <v>173000</v>
      </c>
      <c r="D7" s="53"/>
    </row>
    <row r="9" spans="3:5" x14ac:dyDescent="0.25">
      <c r="C9" s="5" t="s">
        <v>78</v>
      </c>
    </row>
    <row r="10" spans="3:5" x14ac:dyDescent="0.25">
      <c r="C10" s="2" t="s">
        <v>23</v>
      </c>
      <c r="D10" s="8" t="s">
        <v>70</v>
      </c>
    </row>
    <row r="11" spans="3:5" x14ac:dyDescent="0.25">
      <c r="C11" s="2" t="s">
        <v>24</v>
      </c>
      <c r="D11" s="54">
        <v>43000</v>
      </c>
    </row>
    <row r="12" spans="3:5" x14ac:dyDescent="0.25">
      <c r="C12" s="2" t="s">
        <v>25</v>
      </c>
      <c r="D12" s="8" t="s">
        <v>26</v>
      </c>
    </row>
    <row r="14" spans="3:5" x14ac:dyDescent="0.25">
      <c r="C14" s="5" t="s">
        <v>86</v>
      </c>
    </row>
    <row r="15" spans="3:5" x14ac:dyDescent="0.25">
      <c r="C15" s="2" t="s">
        <v>23</v>
      </c>
      <c r="D15" s="8" t="s">
        <v>32</v>
      </c>
      <c r="E15" s="16"/>
    </row>
    <row r="16" spans="3:5" x14ac:dyDescent="0.25">
      <c r="C16" s="2" t="s">
        <v>24</v>
      </c>
      <c r="D16" s="54">
        <v>50000</v>
      </c>
    </row>
    <row r="17" spans="3:4" x14ac:dyDescent="0.25">
      <c r="C17" s="2" t="s">
        <v>25</v>
      </c>
      <c r="D17" s="8" t="s">
        <v>26</v>
      </c>
    </row>
    <row r="19" spans="3:4" x14ac:dyDescent="0.25">
      <c r="C19" s="5" t="s">
        <v>87</v>
      </c>
    </row>
    <row r="20" spans="3:4" x14ac:dyDescent="0.25">
      <c r="C20" s="2" t="s">
        <v>23</v>
      </c>
      <c r="D20" s="8" t="s">
        <v>44</v>
      </c>
    </row>
    <row r="21" spans="3:4" x14ac:dyDescent="0.25">
      <c r="C21" s="2" t="s">
        <v>24</v>
      </c>
      <c r="D21" s="54">
        <v>80000</v>
      </c>
    </row>
    <row r="22" spans="3:4" x14ac:dyDescent="0.25">
      <c r="C22" s="2" t="s">
        <v>25</v>
      </c>
      <c r="D22" s="8" t="s">
        <v>26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999F70D3-0648-4C54-90E1-C491F7E04FC2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433E-53C2-4052-AD76-FB7FCBE70AFE}">
  <sheetPr codeName="Planilha3"/>
  <dimension ref="A3:J38"/>
  <sheetViews>
    <sheetView showGridLines="0" tabSelected="1" workbookViewId="0">
      <selection activeCell="J29" sqref="J29"/>
    </sheetView>
  </sheetViews>
  <sheetFormatPr defaultRowHeight="15" x14ac:dyDescent="0.25"/>
  <cols>
    <col min="1" max="1" width="32.5703125" style="1" customWidth="1"/>
    <col min="3" max="3" width="17.7109375" customWidth="1"/>
    <col min="4" max="4" width="24.42578125" customWidth="1"/>
    <col min="5" max="5" width="19.85546875" customWidth="1"/>
    <col min="6" max="6" width="7.140625" customWidth="1"/>
    <col min="7" max="7" width="12.42578125" bestFit="1" customWidth="1"/>
    <col min="8" max="8" width="14" customWidth="1"/>
    <col min="9" max="9" width="17.5703125" customWidth="1"/>
    <col min="10" max="10" width="18.28515625" customWidth="1"/>
    <col min="16" max="16" width="10.42578125" bestFit="1" customWidth="1"/>
    <col min="18" max="18" width="11.5703125" bestFit="1" customWidth="1"/>
  </cols>
  <sheetData>
    <row r="3" spans="3:10" ht="20.25" thickBot="1" x14ac:dyDescent="0.35">
      <c r="C3" s="38" t="s">
        <v>80</v>
      </c>
      <c r="D3" s="38"/>
      <c r="E3" s="38"/>
      <c r="H3" s="50" t="s">
        <v>118</v>
      </c>
      <c r="I3" s="49"/>
    </row>
    <row r="4" spans="3:10" ht="23.25" customHeight="1" thickTop="1" x14ac:dyDescent="0.25">
      <c r="C4" s="22" t="s">
        <v>81</v>
      </c>
      <c r="D4" s="21"/>
      <c r="E4" s="21"/>
      <c r="H4" s="29">
        <f>C8-G8</f>
        <v>173500</v>
      </c>
      <c r="I4" s="51"/>
    </row>
    <row r="7" spans="3:10" x14ac:dyDescent="0.25">
      <c r="C7" s="43" t="s">
        <v>117</v>
      </c>
      <c r="D7" s="43"/>
      <c r="E7" s="43"/>
      <c r="G7" s="43" t="s">
        <v>101</v>
      </c>
      <c r="H7" s="43"/>
      <c r="I7" s="43"/>
      <c r="J7" s="43"/>
    </row>
    <row r="8" spans="3:10" x14ac:dyDescent="0.25">
      <c r="C8" s="41">
        <f>SUM(E12:E35)</f>
        <v>243700</v>
      </c>
      <c r="D8" s="42"/>
      <c r="E8" s="42"/>
      <c r="G8" s="45">
        <f>SUM(Tabela2[[#All],[TOTAL DE SAÍDAS]])</f>
        <v>70200</v>
      </c>
      <c r="H8" s="46"/>
      <c r="I8" s="46"/>
      <c r="J8" s="46"/>
    </row>
    <row r="9" spans="3:10" x14ac:dyDescent="0.25">
      <c r="G9" s="44"/>
    </row>
    <row r="10" spans="3:10" x14ac:dyDescent="0.25">
      <c r="C10" s="36" t="s">
        <v>85</v>
      </c>
      <c r="D10" s="37"/>
      <c r="E10" s="37"/>
      <c r="G10" s="31" t="s">
        <v>114</v>
      </c>
      <c r="H10" s="31" t="s">
        <v>116</v>
      </c>
      <c r="I10" s="31" t="s">
        <v>115</v>
      </c>
      <c r="J10" s="31" t="s">
        <v>79</v>
      </c>
    </row>
    <row r="11" spans="3:10" x14ac:dyDescent="0.25">
      <c r="C11" s="7" t="s">
        <v>82</v>
      </c>
      <c r="D11" s="7" t="s">
        <v>83</v>
      </c>
      <c r="E11" s="7" t="s">
        <v>84</v>
      </c>
      <c r="G11" t="s">
        <v>102</v>
      </c>
      <c r="H11" s="28">
        <v>4110</v>
      </c>
      <c r="I11" s="28">
        <v>1400</v>
      </c>
      <c r="J11" s="30">
        <f>SUM(H11,I11)</f>
        <v>5510</v>
      </c>
    </row>
    <row r="12" spans="3:10" x14ac:dyDescent="0.25">
      <c r="C12" s="33" t="s">
        <v>102</v>
      </c>
      <c r="D12" s="32" t="s">
        <v>90</v>
      </c>
      <c r="E12" s="39">
        <v>3000</v>
      </c>
      <c r="G12" t="s">
        <v>103</v>
      </c>
      <c r="H12" s="28">
        <v>4110</v>
      </c>
      <c r="I12" s="28">
        <v>2206</v>
      </c>
      <c r="J12" s="30">
        <f>SUM(H12,I12)</f>
        <v>6316</v>
      </c>
    </row>
    <row r="13" spans="3:10" x14ac:dyDescent="0.25">
      <c r="C13" s="33" t="s">
        <v>102</v>
      </c>
      <c r="D13" s="32" t="s">
        <v>89</v>
      </c>
      <c r="E13" s="39">
        <v>4000</v>
      </c>
      <c r="G13" t="s">
        <v>104</v>
      </c>
      <c r="H13" s="28">
        <v>4110</v>
      </c>
      <c r="I13" s="28">
        <v>1558</v>
      </c>
      <c r="J13" s="30">
        <f t="shared" ref="J13:J22" si="0">SUM(H13,I13)</f>
        <v>5668</v>
      </c>
    </row>
    <row r="14" spans="3:10" x14ac:dyDescent="0.25">
      <c r="C14" s="34" t="s">
        <v>103</v>
      </c>
      <c r="D14" s="32" t="s">
        <v>90</v>
      </c>
      <c r="E14" s="39">
        <v>3200</v>
      </c>
      <c r="G14" t="s">
        <v>105</v>
      </c>
      <c r="H14" s="28">
        <v>4110</v>
      </c>
      <c r="I14" s="28">
        <v>1577</v>
      </c>
      <c r="J14" s="30">
        <f t="shared" si="0"/>
        <v>5687</v>
      </c>
    </row>
    <row r="15" spans="3:10" x14ac:dyDescent="0.25">
      <c r="C15" s="34" t="s">
        <v>103</v>
      </c>
      <c r="D15" s="32" t="s">
        <v>89</v>
      </c>
      <c r="E15" s="39">
        <v>7000</v>
      </c>
      <c r="G15" t="s">
        <v>106</v>
      </c>
      <c r="H15" s="28">
        <v>4110</v>
      </c>
      <c r="I15" s="28">
        <v>1690</v>
      </c>
      <c r="J15" s="30">
        <f t="shared" si="0"/>
        <v>5800</v>
      </c>
    </row>
    <row r="16" spans="3:10" x14ac:dyDescent="0.25">
      <c r="C16" s="34" t="s">
        <v>104</v>
      </c>
      <c r="D16" s="32" t="s">
        <v>90</v>
      </c>
      <c r="E16" s="39">
        <v>3500</v>
      </c>
      <c r="G16" t="s">
        <v>107</v>
      </c>
      <c r="H16" s="28">
        <v>4110</v>
      </c>
      <c r="I16" s="28">
        <v>1516</v>
      </c>
      <c r="J16" s="30">
        <f t="shared" si="0"/>
        <v>5626</v>
      </c>
    </row>
    <row r="17" spans="3:10" x14ac:dyDescent="0.25">
      <c r="C17" s="34" t="s">
        <v>104</v>
      </c>
      <c r="D17" s="32" t="s">
        <v>89</v>
      </c>
      <c r="E17" s="39">
        <v>9000</v>
      </c>
      <c r="G17" t="s">
        <v>108</v>
      </c>
      <c r="H17" s="28">
        <v>4110</v>
      </c>
      <c r="I17" s="28">
        <v>2023</v>
      </c>
      <c r="J17" s="30">
        <f t="shared" si="0"/>
        <v>6133</v>
      </c>
    </row>
    <row r="18" spans="3:10" x14ac:dyDescent="0.25">
      <c r="C18" s="34" t="s">
        <v>105</v>
      </c>
      <c r="D18" s="32" t="s">
        <v>90</v>
      </c>
      <c r="E18" s="39">
        <v>3400</v>
      </c>
      <c r="G18" t="s">
        <v>109</v>
      </c>
      <c r="H18" s="28">
        <v>4110</v>
      </c>
      <c r="I18" s="28">
        <v>1761</v>
      </c>
      <c r="J18" s="30">
        <f t="shared" si="0"/>
        <v>5871</v>
      </c>
    </row>
    <row r="19" spans="3:10" x14ac:dyDescent="0.25">
      <c r="C19" s="34" t="s">
        <v>105</v>
      </c>
      <c r="D19" s="32" t="s">
        <v>89</v>
      </c>
      <c r="E19" s="39">
        <v>12000</v>
      </c>
      <c r="G19" t="s">
        <v>110</v>
      </c>
      <c r="H19" s="28">
        <v>4110</v>
      </c>
      <c r="I19" s="28">
        <v>1433</v>
      </c>
      <c r="J19" s="30">
        <f t="shared" si="0"/>
        <v>5543</v>
      </c>
    </row>
    <row r="20" spans="3:10" x14ac:dyDescent="0.25">
      <c r="C20" s="34" t="s">
        <v>106</v>
      </c>
      <c r="D20" s="32" t="s">
        <v>90</v>
      </c>
      <c r="E20" s="39">
        <v>3200</v>
      </c>
      <c r="G20" t="s">
        <v>111</v>
      </c>
      <c r="H20" s="28">
        <v>4110</v>
      </c>
      <c r="I20" s="28">
        <v>1777</v>
      </c>
      <c r="J20" s="30">
        <f t="shared" si="0"/>
        <v>5887</v>
      </c>
    </row>
    <row r="21" spans="3:10" x14ac:dyDescent="0.25">
      <c r="C21" s="34" t="s">
        <v>106</v>
      </c>
      <c r="D21" s="32" t="s">
        <v>89</v>
      </c>
      <c r="E21" s="39">
        <v>12000</v>
      </c>
      <c r="G21" t="s">
        <v>112</v>
      </c>
      <c r="H21" s="28">
        <v>4110</v>
      </c>
      <c r="I21" s="28">
        <v>2223</v>
      </c>
      <c r="J21" s="30">
        <f t="shared" si="0"/>
        <v>6333</v>
      </c>
    </row>
    <row r="22" spans="3:10" x14ac:dyDescent="0.25">
      <c r="C22" s="34" t="s">
        <v>107</v>
      </c>
      <c r="D22" s="32" t="s">
        <v>90</v>
      </c>
      <c r="E22" s="39">
        <v>3500</v>
      </c>
      <c r="G22" t="s">
        <v>113</v>
      </c>
      <c r="H22" s="28">
        <v>4110</v>
      </c>
      <c r="I22" s="28">
        <v>1716</v>
      </c>
      <c r="J22" s="30">
        <f t="shared" si="0"/>
        <v>5826</v>
      </c>
    </row>
    <row r="23" spans="3:10" x14ac:dyDescent="0.25">
      <c r="C23" s="34" t="s">
        <v>107</v>
      </c>
      <c r="D23" s="32" t="s">
        <v>89</v>
      </c>
      <c r="E23" s="39">
        <v>14000</v>
      </c>
    </row>
    <row r="24" spans="3:10" x14ac:dyDescent="0.25">
      <c r="C24" s="34" t="s">
        <v>108</v>
      </c>
      <c r="D24" s="32" t="s">
        <v>90</v>
      </c>
      <c r="E24" s="39">
        <v>3800</v>
      </c>
      <c r="G24" s="47"/>
      <c r="H24" s="47"/>
      <c r="I24" s="47"/>
      <c r="J24" s="47"/>
    </row>
    <row r="25" spans="3:10" x14ac:dyDescent="0.25">
      <c r="C25" s="34" t="s">
        <v>108</v>
      </c>
      <c r="D25" s="32" t="s">
        <v>89</v>
      </c>
      <c r="E25" s="39">
        <v>12000</v>
      </c>
      <c r="G25" s="48"/>
      <c r="H25" s="48"/>
      <c r="I25" s="48"/>
      <c r="J25" s="48"/>
    </row>
    <row r="26" spans="3:10" ht="17.25" thickBot="1" x14ac:dyDescent="0.3">
      <c r="C26" s="34" t="s">
        <v>109</v>
      </c>
      <c r="D26" s="32" t="s">
        <v>90</v>
      </c>
      <c r="E26" s="39">
        <v>3800</v>
      </c>
      <c r="G26" s="23" t="s">
        <v>119</v>
      </c>
      <c r="H26" s="24"/>
      <c r="I26" s="24"/>
    </row>
    <row r="27" spans="3:10" ht="17.25" thickBot="1" x14ac:dyDescent="0.3">
      <c r="C27" s="34" t="s">
        <v>109</v>
      </c>
      <c r="D27" s="32" t="s">
        <v>89</v>
      </c>
      <c r="E27" s="39">
        <v>15000</v>
      </c>
      <c r="G27" s="17" t="s">
        <v>82</v>
      </c>
      <c r="H27" s="19" t="s">
        <v>88</v>
      </c>
      <c r="I27" s="18" t="s">
        <v>84</v>
      </c>
    </row>
    <row r="28" spans="3:10" ht="15.75" thickBot="1" x14ac:dyDescent="0.3">
      <c r="C28" s="34" t="s">
        <v>110</v>
      </c>
      <c r="D28" s="32" t="s">
        <v>90</v>
      </c>
      <c r="E28" s="39">
        <v>3700</v>
      </c>
      <c r="G28" s="25">
        <v>45660</v>
      </c>
      <c r="H28" s="26" t="s">
        <v>92</v>
      </c>
      <c r="I28" s="27">
        <v>110</v>
      </c>
    </row>
    <row r="29" spans="3:10" ht="15.75" thickBot="1" x14ac:dyDescent="0.3">
      <c r="C29" s="34" t="s">
        <v>110</v>
      </c>
      <c r="D29" s="32" t="s">
        <v>89</v>
      </c>
      <c r="E29" s="39">
        <v>19000</v>
      </c>
      <c r="G29" s="25">
        <v>45661</v>
      </c>
      <c r="H29" s="26" t="s">
        <v>93</v>
      </c>
      <c r="I29" s="27">
        <v>180</v>
      </c>
    </row>
    <row r="30" spans="3:10" ht="15.75" thickBot="1" x14ac:dyDescent="0.3">
      <c r="C30" s="34" t="s">
        <v>111</v>
      </c>
      <c r="D30" s="32" t="s">
        <v>90</v>
      </c>
      <c r="E30" s="39">
        <v>3500</v>
      </c>
      <c r="G30" s="25">
        <v>45662</v>
      </c>
      <c r="H30" s="26" t="s">
        <v>94</v>
      </c>
      <c r="I30" s="27">
        <v>1200</v>
      </c>
    </row>
    <row r="31" spans="3:10" ht="15.75" thickBot="1" x14ac:dyDescent="0.3">
      <c r="C31" s="35" t="s">
        <v>111</v>
      </c>
      <c r="D31" s="32" t="s">
        <v>89</v>
      </c>
      <c r="E31" s="40">
        <v>24000</v>
      </c>
      <c r="G31" s="25">
        <v>45663</v>
      </c>
      <c r="H31" s="26" t="s">
        <v>95</v>
      </c>
      <c r="I31" s="27">
        <v>1500</v>
      </c>
    </row>
    <row r="32" spans="3:10" ht="15.75" thickBot="1" x14ac:dyDescent="0.3">
      <c r="C32" s="35" t="s">
        <v>112</v>
      </c>
      <c r="D32" s="32" t="s">
        <v>90</v>
      </c>
      <c r="E32" s="40">
        <v>3900</v>
      </c>
      <c r="G32" s="25">
        <v>45664</v>
      </c>
      <c r="H32" s="26" t="s">
        <v>96</v>
      </c>
      <c r="I32" s="27">
        <v>980</v>
      </c>
    </row>
    <row r="33" spans="3:9" ht="15.75" thickBot="1" x14ac:dyDescent="0.3">
      <c r="C33" s="35" t="s">
        <v>112</v>
      </c>
      <c r="D33" s="32" t="s">
        <v>89</v>
      </c>
      <c r="E33" s="40">
        <v>28000</v>
      </c>
      <c r="G33" s="25">
        <v>45665</v>
      </c>
      <c r="H33" s="26" t="s">
        <v>91</v>
      </c>
      <c r="I33" s="27">
        <v>140</v>
      </c>
    </row>
    <row r="34" spans="3:9" ht="15.75" thickBot="1" x14ac:dyDescent="0.3">
      <c r="C34" s="35" t="s">
        <v>113</v>
      </c>
      <c r="D34" s="32" t="s">
        <v>90</v>
      </c>
      <c r="E34" s="40">
        <v>4200</v>
      </c>
      <c r="G34" s="25">
        <v>45666</v>
      </c>
      <c r="H34" s="26" t="s">
        <v>97</v>
      </c>
      <c r="I34" s="27">
        <v>1700</v>
      </c>
    </row>
    <row r="35" spans="3:9" ht="15.75" thickBot="1" x14ac:dyDescent="0.3">
      <c r="C35" s="35" t="s">
        <v>113</v>
      </c>
      <c r="D35" s="32" t="s">
        <v>89</v>
      </c>
      <c r="E35" s="40">
        <v>45000</v>
      </c>
      <c r="G35" s="25">
        <v>45667</v>
      </c>
      <c r="H35" s="26" t="s">
        <v>98</v>
      </c>
      <c r="I35" s="27">
        <v>500</v>
      </c>
    </row>
    <row r="36" spans="3:9" ht="15.75" thickBot="1" x14ac:dyDescent="0.3">
      <c r="C36" s="20"/>
      <c r="D36" s="20"/>
      <c r="E36" s="20"/>
      <c r="G36" s="25">
        <v>45668</v>
      </c>
      <c r="H36" s="26" t="s">
        <v>99</v>
      </c>
      <c r="I36" s="27">
        <v>600</v>
      </c>
    </row>
    <row r="37" spans="3:9" ht="15.75" thickBot="1" x14ac:dyDescent="0.3">
      <c r="C37" s="20"/>
      <c r="D37" s="20"/>
      <c r="E37" s="20"/>
      <c r="G37" s="25">
        <v>45669</v>
      </c>
      <c r="H37" s="26" t="s">
        <v>100</v>
      </c>
      <c r="I37" s="27">
        <v>300</v>
      </c>
    </row>
    <row r="38" spans="3:9" x14ac:dyDescent="0.25">
      <c r="C38" s="20"/>
      <c r="D38" s="20"/>
      <c r="E38" s="20"/>
    </row>
  </sheetData>
  <mergeCells count="11">
    <mergeCell ref="G26:I26"/>
    <mergeCell ref="G25:J25"/>
    <mergeCell ref="C3:E3"/>
    <mergeCell ref="G7:J7"/>
    <mergeCell ref="C7:E7"/>
    <mergeCell ref="G8:J8"/>
    <mergeCell ref="H3:I3"/>
    <mergeCell ref="H4:I4"/>
    <mergeCell ref="C4:E4"/>
    <mergeCell ref="C10:E10"/>
    <mergeCell ref="C8:E8"/>
  </mergeCells>
  <phoneticPr fontId="14" type="noConversion"/>
  <dataValidations count="3">
    <dataValidation type="list" allowBlank="1" showInputMessage="1" showErrorMessage="1" sqref="D12:D37" xr:uid="{E1923848-E4C1-4CDC-980E-2271D7E332D1}">
      <formula1>"HOLERITES,CNPJ,FREELANCE"</formula1>
    </dataValidation>
    <dataValidation type="list" allowBlank="1" showInputMessage="1" showErrorMessage="1" errorTitle="Selecione uma opção válida" promptTitle="Selecione uma opção válida" prompt="Encontre a opção que melhor se encontra da descrição" sqref="H27" xr:uid="{EE3A1B97-DA57-41C6-A9CC-B3CA3ADDFCEA}">
      <formula1>"ÁGUA,LUZ,INTERNET,PRESTAÇÃO_DA_CASA,PRESTAÇÃO_DO_CARRO,ESCOLA_PARTICULAR,FACULDADE,PLANO_DE_SAÚDE,ROUPAS,CALÇADOS,VIAGENS,LAZER,MERCADO,DESPESAS_GERAL,COMBUSTÍVEL,MANUTENÇÃO_CARRO,OUTROS"</formula1>
    </dataValidation>
    <dataValidation type="list" allowBlank="1" showInputMessage="1" showErrorMessage="1" errorTitle="Escolha uma opção válida" promptTitle="Encontre uma opção válida" sqref="H28:H37" xr:uid="{DA9DB213-67A8-4D82-99D7-6D037E92C765}">
      <formula1>"CASA,CARRO,ÁGUA,LUZ,INTERNET,ESCOLA,MERCADO,DESPESA_EM_GERAL,MANUTENÇÃO_CARRO,OUTROS"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0CEF-0548-42AE-9F18-ADEEDEB90CE4}">
  <dimension ref="A1:A51"/>
  <sheetViews>
    <sheetView topLeftCell="A30" workbookViewId="0">
      <selection activeCell="C30" sqref="C1:C1048576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Sueli Alves</dc:creator>
  <cp:lastModifiedBy>Gabrielle Sueli Alves</cp:lastModifiedBy>
  <dcterms:created xsi:type="dcterms:W3CDTF">2026-02-01T21:48:15Z</dcterms:created>
  <dcterms:modified xsi:type="dcterms:W3CDTF">2026-02-07T21:50:54Z</dcterms:modified>
</cp:coreProperties>
</file>